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yalun/Documents/GitHub/"/>
    </mc:Choice>
  </mc:AlternateContent>
  <xr:revisionPtr revIDLastSave="0" documentId="8_{8054D6A8-9D01-2248-BF8C-7B3D1DF80BC2}" xr6:coauthVersionLast="47" xr6:coauthVersionMax="47" xr10:uidLastSave="{00000000-0000-0000-0000-000000000000}"/>
  <bookViews>
    <workbookView xWindow="0" yWindow="740" windowWidth="30240" windowHeight="1890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7" i="1"/>
  <c r="H17" i="1"/>
  <c r="D17" i="1"/>
  <c r="C17" i="1"/>
  <c r="J17" i="1"/>
  <c r="L14" i="1"/>
  <c r="J3" i="1"/>
  <c r="L3" i="1" s="1"/>
  <c r="J14" i="1"/>
  <c r="K14" i="1" s="1" a="1"/>
  <c r="K14" i="1" s="1"/>
  <c r="J15" i="1"/>
  <c r="L15" i="1" s="1"/>
  <c r="H3" i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H15" i="1"/>
  <c r="H2" i="1"/>
  <c r="J2" i="1" s="1"/>
  <c r="K10" i="1" l="1" a="1"/>
  <c r="K10" i="1" s="1"/>
  <c r="L10" i="1"/>
  <c r="K8" i="1" a="1"/>
  <c r="K8" i="1" s="1"/>
  <c r="L8" i="1"/>
  <c r="L6" i="1"/>
  <c r="K6" i="1" a="1"/>
  <c r="K6" i="1" s="1"/>
  <c r="K5" i="1" a="1"/>
  <c r="K5" i="1" s="1"/>
  <c r="L5" i="1"/>
  <c r="L2" i="1"/>
  <c r="K2" i="1" a="1"/>
  <c r="K2" i="1" s="1"/>
  <c r="L4" i="1"/>
  <c r="K4" i="1" a="1"/>
  <c r="K4" i="1" s="1"/>
  <c r="K12" i="1" a="1"/>
  <c r="K12" i="1" s="1"/>
  <c r="L12" i="1"/>
  <c r="K9" i="1" a="1"/>
  <c r="K9" i="1" s="1"/>
  <c r="L9" i="1"/>
  <c r="K7" i="1" a="1"/>
  <c r="K7" i="1" s="1"/>
  <c r="L7" i="1"/>
  <c r="K13" i="1" a="1"/>
  <c r="K13" i="1" s="1"/>
  <c r="L13" i="1"/>
  <c r="K11" i="1" a="1"/>
  <c r="K11" i="1" s="1"/>
  <c r="L11" i="1"/>
  <c r="K3" i="1" a="1"/>
  <c r="K3" i="1" s="1"/>
  <c r="K15" i="1" a="1"/>
  <c r="K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<sst xmlns="http://schemas.openxmlformats.org/spreadsheetml/2006/main" count="34" uniqueCount="34">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</sst>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工作表1!$J$2:$J$15</c:f>
              <c:numCache>
                <c:formatCode>General</c:formatCode>
                <c:ptCount val="14"/>
                <c:pt idx="0">
                  <c:v>94.4</c:v>
                </c:pt>
                <c:pt idx="1">
                  <c:v>86</c:v>
                </c:pt>
                <c:pt idx="2">
                  <c:v>82.4</c:v>
                </c:pt>
                <c:pt idx="3">
                  <c:v>81.599999999999994</c:v>
                </c:pt>
                <c:pt idx="4">
                  <c:v>81.400000000000006</c:v>
                </c:pt>
                <c:pt idx="5">
                  <c:v>80.599999999999994</c:v>
                </c:pt>
                <c:pt idx="6">
                  <c:v>78.800000000000011</c:v>
                </c:pt>
                <c:pt idx="7">
                  <c:v>75.400000000000006</c:v>
                </c:pt>
                <c:pt idx="8">
                  <c:v>73.400000000000006</c:v>
                </c:pt>
                <c:pt idx="9">
                  <c:v>73.2</c:v>
                </c:pt>
                <c:pt idx="10">
                  <c:v>73.2</c:v>
                </c:pt>
                <c:pt idx="11">
                  <c:v>66</c:v>
                </c:pt>
                <c:pt idx="12">
                  <c:v>64.8</c:v>
                </c:pt>
                <c:pt idx="13">
                  <c:v>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D-FD43-B204-BCDA58BF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047104"/>
        <c:axId val="1076271232"/>
      </c:barChart>
      <c:catAx>
        <c:axId val="370047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271232"/>
        <c:crosses val="autoZero"/>
        <c:auto val="1"/>
        <c:lblAlgn val="ctr"/>
        <c:lblOffset val="100"/>
        <c:noMultiLvlLbl val="0"/>
      </c:catAx>
      <c:valAx>
        <c:axId val="107627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004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工作表1!$K$17:$K$18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工作表1!$L$17:$L$18</c:f>
              <c:numCache>
                <c:formatCode>General</c:formatCode>
                <c:ptCount val="2"/>
                <c:pt idx="0">
                  <c:v>13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D-954A-B5DB-84DEBE4F55C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672352</xdr:colOff>
      <xdr:row>25</xdr:row>
      <xdr:rowOff>102720</xdr:rowOff>
    </xdr:from>
    <xdr:to>
      <xdr:col>10</xdr:col>
      <xdr:colOff>1254125</xdr:colOff>
      <xdr:row>34</xdr:row>
      <xdr:rowOff>176306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35B78C7C-2E18-1E21-B6C5-0A0C2E642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1157941</xdr:colOff>
      <xdr:row>18</xdr:row>
      <xdr:rowOff>56030</xdr:rowOff>
    </xdr:from>
    <xdr:to>
      <xdr:col>12</xdr:col>
      <xdr:colOff>637802</xdr:colOff>
      <xdr:row>27</xdr:row>
      <xdr:rowOff>45571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5872687C-BA4E-B671-CA1C-811F43B51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zoomScale="117" workbookViewId="0">
      <selection activeCell="H31" sqref="H31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SUM(C2:G2)*0.1+H2*0.5</f>
        <v>94.4</v>
      </c>
      <c r="K2" t="str" cm="1">
        <f t="array" ref="K2">_xlfn.IFS(J2&gt;=90,"A",J2&gt;=80,"B",J2&gt;=70,"C",J2&gt;=60,"D",60&gt;J2&gt;=0,"F")</f>
        <v>A</v>
      </c>
      <c r="L2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SUM(C3:G3)*0.1+H3*0.5</f>
        <v>86</v>
      </c>
      <c r="K3" t="str" cm="1">
        <f t="array" ref="K3">_xlfn.IFS(J3&gt;=90,"A",J3&gt;=80,"B",J3&gt;=70,"C",J3&gt;=60,"D",60&gt;J3&gt;=0,"F")</f>
        <v>B</v>
      </c>
      <c r="L3" t="str">
        <f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82.4</v>
      </c>
      <c r="K4" t="str" cm="1">
        <f t="array" ref="K4">_xlfn.IFS(J4&gt;=90,"A",J4&gt;=80,"B",J4&gt;=70,"C",J4&gt;=60,"D",60&gt;J4&gt;=0,"F")</f>
        <v>B</v>
      </c>
      <c r="L4" t="str">
        <f t="shared" ref="L3:L15" si="2">IF(J4&gt;=60,"pass","fail")</f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81.599999999999994</v>
      </c>
      <c r="K5" t="str" cm="1">
        <f t="array" ref="K5">_xlfn.IFS(J5&gt;=90,"A",J5&gt;=80,"B",J5&gt;=70,"C",J5&gt;=60,"D",60&gt;J5&gt;=0,"F")</f>
        <v>B</v>
      </c>
      <c r="L5" t="str">
        <f t="shared" si="2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81.400000000000006</v>
      </c>
      <c r="K6" t="str" cm="1">
        <f t="array" ref="K6">_xlfn.IFS(J6&gt;=90,"A",J6&gt;=80,"B",J6&gt;=70,"C",J6&gt;=60,"D",60&gt;J6&gt;=0,"F")</f>
        <v>B</v>
      </c>
      <c r="L6" t="str">
        <f t="shared" si="2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80.599999999999994</v>
      </c>
      <c r="K7" t="str" cm="1">
        <f t="array" ref="K7">_xlfn.IFS(J7&gt;=90,"A",J7&gt;=80,"B",J7&gt;=70,"C",J7&gt;=60,"D",60&gt;J7&gt;=0,"F")</f>
        <v>B</v>
      </c>
      <c r="L7" t="str">
        <f t="shared" si="2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78.800000000000011</v>
      </c>
      <c r="K8" t="str" cm="1">
        <f t="array" ref="K8">_xlfn.IFS(J8&gt;=90,"A",J8&gt;=80,"B",J8&gt;=70,"C",J8&gt;=60,"D",60&gt;J8&gt;=0,"F")</f>
        <v>C</v>
      </c>
      <c r="L8" t="str">
        <f t="shared" si="2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75.400000000000006</v>
      </c>
      <c r="K9" t="str" cm="1">
        <f t="array" ref="K9">_xlfn.IFS(J9&gt;=90,"A",J9&gt;=80,"B",J9&gt;=70,"C",J9&gt;=60,"D",60&gt;J9&gt;=0,"F")</f>
        <v>C</v>
      </c>
      <c r="L9" t="str">
        <f t="shared" si="2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73.400000000000006</v>
      </c>
      <c r="K10" t="str" cm="1">
        <f t="array" ref="K10">_xlfn.IFS(J10&gt;=90,"A",J10&gt;=80,"B",J10&gt;=70,"C",J10&gt;=60,"D",60&gt;J10&gt;=0,"F")</f>
        <v>C</v>
      </c>
      <c r="L10" t="str">
        <f t="shared" si="2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73.2</v>
      </c>
      <c r="K11" t="str" cm="1">
        <f t="array" ref="K11">_xlfn.IFS(J11&gt;=90,"A",J11&gt;=80,"B",J11&gt;=70,"C",J11&gt;=60,"D",60&gt;J11&gt;=0,"F")</f>
        <v>C</v>
      </c>
      <c r="L11" t="str">
        <f t="shared" si="2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73.2</v>
      </c>
      <c r="K12" t="str" cm="1">
        <f t="array" ref="K12">_xlfn.IFS(J12&gt;=90,"A",J12&gt;=80,"B",J12&gt;=70,"C",J12&gt;=60,"D",60&gt;J12&gt;=0,"F")</f>
        <v>C</v>
      </c>
      <c r="L12" t="str">
        <f t="shared" si="2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66</v>
      </c>
      <c r="K13" t="str" cm="1">
        <f t="array" ref="K13">_xlfn.IFS(J13&gt;=90,"A",J13&gt;=80,"B",J13&gt;=70,"C",J13&gt;=60,"D",60&gt;J13&gt;=0,"F")</f>
        <v>D</v>
      </c>
      <c r="L13" t="str">
        <f t="shared" si="2"/>
        <v>pass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64.8</v>
      </c>
      <c r="K14" t="str" cm="1">
        <f t="array" ref="K14">_xlfn.IFS(J14&gt;=90,"A",J14&gt;=80,"B",J14&gt;=70,"C",J14&gt;=60,"D",60&gt;J14&gt;=0,"F")</f>
        <v>D</v>
      </c>
      <c r="L14" t="str">
        <f t="shared" si="2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57.2</v>
      </c>
      <c r="K15" t="str" cm="1">
        <f t="array" ref="K15">_xlfn.IFS(J15&gt;=90,"A",J15&gt;=80,"B",J15&gt;=70,"C",J15&gt;=60,"D",60&gt;J15&gt;=0,"F")</f>
        <v>F</v>
      </c>
      <c r="L15" t="str">
        <f t="shared" si="2"/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2">
      <c r="C17">
        <f>MAX(C2:C15)</f>
        <v>98</v>
      </c>
      <c r="D17">
        <f>LARGE(D2:D15,2)</f>
        <v>92</v>
      </c>
      <c r="H17" s="1">
        <f>COUNTIF(H2:H15,"&lt;=80")</f>
        <v>8</v>
      </c>
      <c r="J17">
        <f>AVERAGE(J2:J15)</f>
        <v>76.314285714285717</v>
      </c>
      <c r="K17" s="5" t="s">
        <v>32</v>
      </c>
      <c r="L17">
        <f>COUNTIF(L2:L15,"pass")</f>
        <v>13</v>
      </c>
    </row>
    <row r="18" spans="3:12">
      <c r="K18" s="5" t="s">
        <v>33</v>
      </c>
      <c r="L18">
        <f>COUNTIF(L2:L15,"fail")</f>
        <v>1</v>
      </c>
    </row>
    <row r="24" spans="3:12" ht="16">
      <c r="J24" s="4" t="s">
        <v>30</v>
      </c>
    </row>
  </sheetData>
  <phoneticPr fontId="2" type="noConversion"/>
  <conditionalFormatting sqref="L2:L15 L17:L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">
    <cfRule type="cellIs" dxfId="2" priority="3" operator="greaterThan">
      <formula>$L$2</formula>
    </cfRule>
  </conditionalFormatting>
  <conditionalFormatting sqref="L2:L15 L17:L18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亞倫 談</cp:lastModifiedBy>
  <dcterms:created xsi:type="dcterms:W3CDTF">2023-10-19T05:27:10Z</dcterms:created>
  <dcterms:modified xsi:type="dcterms:W3CDTF">2025-10-07T04:25:41Z</dcterms:modified>
</cp:coreProperties>
</file>